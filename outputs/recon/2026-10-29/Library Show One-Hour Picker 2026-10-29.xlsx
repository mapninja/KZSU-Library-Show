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-Hour Picker" sheetId="1" state="visible" r:id="rId3"/>
  </sheets>
  <definedNames>
    <definedName function="false" hidden="true" localSheetId="0" name="_xlnm._FilterDatabase" vbProcedure="false">'One-Hour Picker'!$A$10:$M$45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<sst xmlns="http://schemas.openxmlformats.org/spreadsheetml/2006/main" count="268" uniqueCount="199">
  <si>
    <t xml:space="preserve">The Library with DJ Stace: one-hour picker, Thu. Oct. 29, 2026 (Halloween)</t>
  </si>
  <si>
    <t xml:space="preserve">Type x in the yellow Play column to pick a track. Selected total, remaining time and the running total update on their own.</t>
  </si>
  <si>
    <t xml:space="preserve">Show length (min)</t>
  </si>
  <si>
    <t xml:space="preserve">How to use</t>
  </si>
  <si>
    <t xml:space="preserve">Talk, IDs and PSAs (min)</t>
  </si>
  <si>
    <t xml:space="preserve">Yellow cells are inputs: Show length, Talk allowance and the Play column.</t>
  </si>
  <si>
    <t xml:space="preserve">Music target</t>
  </si>
  <si>
    <t xml:space="preserve">Runtime comes from the YouTube Music durations in the plan. Selected runtime is blank until you mark a track.</t>
  </si>
  <si>
    <t xml:space="preserve">Selected music</t>
  </si>
  <si>
    <t xml:space="preserve">Running total adds up only the tracks you picked, in air order, so you can see where the hour lands.</t>
  </si>
  <si>
    <t xml:space="preserve">Time left</t>
  </si>
  <si>
    <t xml:space="preserve">Set rows are shaded by set. FCC: CLEAN unless it says LISTEN FIRST (Coil).</t>
  </si>
  <si>
    <t xml:space="preserve">Tracks picked</t>
  </si>
  <si>
    <t xml:space="preserve">Play (x)</t>
  </si>
  <si>
    <t xml:space="preserve">#</t>
  </si>
  <si>
    <t xml:space="preserve">Set</t>
  </si>
  <si>
    <t xml:space="preserve">Artist</t>
  </si>
  <si>
    <t xml:space="preserve">Track</t>
  </si>
  <si>
    <t xml:space="preserve">Album</t>
  </si>
  <si>
    <t xml:space="preserve">Label</t>
  </si>
  <si>
    <t xml:space="preserve">Runtime</t>
  </si>
  <si>
    <t xml:space="preserve">Seconds</t>
  </si>
  <si>
    <t xml:space="preserve">Selected runtime</t>
  </si>
  <si>
    <t xml:space="preserve">Running total (picked)</t>
  </si>
  <si>
    <t xml:space="preserve">FCC</t>
  </si>
  <si>
    <t xml:space="preserve">Notes</t>
  </si>
  <si>
    <t xml:space="preserve">Hour 1, Set 1: Halloween anthems and horror-punk</t>
  </si>
  <si>
    <t xml:space="preserve">Ministry</t>
  </si>
  <si>
    <t xml:space="preserve">Every Day Is Halloween</t>
  </si>
  <si>
    <t xml:space="preserve">Twelve Inch Singles</t>
  </si>
  <si>
    <t xml:space="preserve">Wax Trax! Records</t>
  </si>
  <si>
    <t xml:space="preserve">CLEAN</t>
  </si>
  <si>
    <t xml:space="preserve">Station favorite. Final album Hate to Go (Take Out or Delivery) out Fri. Oct. 30 on Cleopatra.</t>
  </si>
  <si>
    <t xml:space="preserve">Misfits</t>
  </si>
  <si>
    <t xml:space="preserve">Halloween</t>
  </si>
  <si>
    <t xml:space="preserve">Halloween (single)</t>
  </si>
  <si>
    <t xml:space="preserve">Plan 9</t>
  </si>
  <si>
    <t xml:space="preserve">Clean Misfits. Single from 1981.</t>
  </si>
  <si>
    <t xml:space="preserve">The Cramps</t>
  </si>
  <si>
    <t xml:space="preserve">Goo Goo Muck</t>
  </si>
  <si>
    <t xml:space="preserve">Psychedelic Jungle</t>
  </si>
  <si>
    <t xml:space="preserve">I.R.S. Records</t>
  </si>
  <si>
    <t xml:space="preserve">From Psychedelic Jungle (1981).</t>
  </si>
  <si>
    <t xml:space="preserve">Roky Erickson</t>
  </si>
  <si>
    <t xml:space="preserve">I Walked with a Zombie</t>
  </si>
  <si>
    <t xml:space="preserve">The Evil One</t>
  </si>
  <si>
    <t xml:space="preserve">415 Records</t>
  </si>
  <si>
    <t xml:space="preserve">Hour 1, Set 2: Spells, wolves and haunted covers</t>
  </si>
  <si>
    <t xml:space="preserve">Screamin' Jay Hawkins</t>
  </si>
  <si>
    <t xml:space="preserve">I Put a Spell on You</t>
  </si>
  <si>
    <t xml:space="preserve">At Home with Screamin' Jay Hawkins</t>
  </si>
  <si>
    <t xml:space="preserve">Okeh</t>
  </si>
  <si>
    <t xml:space="preserve">1956 original.</t>
  </si>
  <si>
    <t xml:space="preserve">The Kills</t>
  </si>
  <si>
    <t xml:space="preserve">I Put a Spell on You (single)</t>
  </si>
  <si>
    <t xml:space="preserve">Domino Recording Company</t>
  </si>
  <si>
    <t xml:space="preserve">Added to the Air Order by DJ Stace. Cover; pairs with Screamin' Jay Hawkins, the original, just before it. Original: Screamin' Jay Hawkins (</t>
  </si>
  <si>
    <t xml:space="preserve">Lera Lynn &amp; Shovels &amp; Rope</t>
  </si>
  <si>
    <t xml:space="preserve">Wolf Like Me (ft. Shovels &amp; Rope)</t>
  </si>
  <si>
    <t xml:space="preserve">Plays Well With Others</t>
  </si>
  <si>
    <t xml:space="preserve">Single Lock</t>
  </si>
  <si>
    <t xml:space="preserve">Cover of the TV on the Radio song; werewolf theme fits Halloween. Shovels &amp; Rope are on her Weekly Playlist.</t>
  </si>
  <si>
    <t xml:space="preserve">The Flaming Lips</t>
  </si>
  <si>
    <t xml:space="preserve">God Will Control The Werewolves</t>
  </si>
  <si>
    <t xml:space="preserve">The Teardrop Throbs</t>
  </si>
  <si>
    <t xml:space="preserve">Third Man Records</t>
  </si>
  <si>
    <t xml:space="preserve">Added to the Air Order by DJ Stace (Oct. 29). Werewolf title. Album announced Oct. 26, due in January on Third Man (verify), the first witho</t>
  </si>
  <si>
    <t xml:space="preserve">Stef Chura</t>
  </si>
  <si>
    <t xml:space="preserve">Eyes Without a Face</t>
  </si>
  <si>
    <t xml:space="preserve">Midnight</t>
  </si>
  <si>
    <t xml:space="preserve">Saddle Creek</t>
  </si>
  <si>
    <t xml:space="preserve">Your review: 4 stars; Billy Idol cover, quiet and breathy, then a plodding rocker. Idol's song is named for the 1960 French horror film.</t>
  </si>
  <si>
    <t xml:space="preserve">Hour 1, Set 3: Black and fuzz</t>
  </si>
  <si>
    <t xml:space="preserve">Ty Segall</t>
  </si>
  <si>
    <t xml:space="preserve">Black Paint</t>
  </si>
  <si>
    <t xml:space="preserve">Chrome</t>
  </si>
  <si>
    <t xml:space="preserve">Drag City</t>
  </si>
  <si>
    <t xml:space="preserve">Reviewed rotation, week 3: five stars. Lead single from Chrome (Drag City). Fits Halloween.</t>
  </si>
  <si>
    <t xml:space="preserve">Lambrini Girls</t>
  </si>
  <si>
    <t xml:space="preserve">Cult of Celebrity</t>
  </si>
  <si>
    <t xml:space="preserve">Cult of Celebrity (single)</t>
  </si>
  <si>
    <t xml:space="preserve">City Slang</t>
  </si>
  <si>
    <t xml:space="preserve">Added to the Air Order by DJ Stace (Oct. 29). UK punk single, first new music since the 2025 album Who Let The Dogs Out. Not in the library </t>
  </si>
  <si>
    <t xml:space="preserve">Thee Oh Sees</t>
  </si>
  <si>
    <t xml:space="preserve">Dead Man's Gun</t>
  </si>
  <si>
    <t xml:space="preserve">A Weird Exits</t>
  </si>
  <si>
    <t xml:space="preserve">Castle Face Records</t>
  </si>
  <si>
    <t xml:space="preserve">Twisted Teens</t>
  </si>
  <si>
    <t xml:space="preserve">Circus Clown</t>
  </si>
  <si>
    <t xml:space="preserve">Blame the Clown</t>
  </si>
  <si>
    <t xml:space="preserve">Chain Smoking Records</t>
  </si>
  <si>
    <t xml:space="preserve">Reviewed rotation, week 3: four stars. Holy Cross Tigers is out Nov. 6 on Sub Pop.</t>
  </si>
  <si>
    <t xml:space="preserve">Dread Spectre Council</t>
  </si>
  <si>
    <t xml:space="preserve">Raven</t>
  </si>
  <si>
    <t xml:space="preserve">Thetans</t>
  </si>
  <si>
    <t xml:space="preserve">Handmade Records</t>
  </si>
  <si>
    <t xml:space="preserve">Reviewed rotation, week 3: five stars. Oslo one-man band. Segues from Ty Segall.</t>
  </si>
  <si>
    <t xml:space="preserve">The Black Angels</t>
  </si>
  <si>
    <t xml:space="preserve">Young Men Dead</t>
  </si>
  <si>
    <t xml:space="preserve">Passover</t>
  </si>
  <si>
    <t xml:space="preserve">Light In The Attic Records</t>
  </si>
  <si>
    <t xml:space="preserve">Core artist.</t>
  </si>
  <si>
    <t xml:space="preserve">Black Rebel Motorcycle Club</t>
  </si>
  <si>
    <t xml:space="preserve">Beat the Devil's Tattoo</t>
  </si>
  <si>
    <t xml:space="preserve">Vagrant Records</t>
  </si>
  <si>
    <t xml:space="preserve">Little Barrie</t>
  </si>
  <si>
    <t xml:space="preserve">It Isn't Soul</t>
  </si>
  <si>
    <t xml:space="preserve">Gravity Freeze</t>
  </si>
  <si>
    <t xml:space="preserve">Easy Eye Sound</t>
  </si>
  <si>
    <t xml:space="preserve">Reviewed rotation, week 3: three stars. More Bad Miles Of Road and Luggin' Hurt already aired.</t>
  </si>
  <si>
    <t xml:space="preserve">Hour 1, Set 4: The devil's set</t>
  </si>
  <si>
    <t xml:space="preserve">Adia Victoria</t>
  </si>
  <si>
    <t xml:space="preserve">Devil Is A Lie</t>
  </si>
  <si>
    <t xml:space="preserve">Silences</t>
  </si>
  <si>
    <t xml:space="preserve">Canvasback/atl</t>
  </si>
  <si>
    <t xml:space="preserve">Your review: 5 stars; midtempo, talk-sung vocals over hi-hat and drum roll, fuzzed and wah'd guitars, bass fade out.</t>
  </si>
  <si>
    <t xml:space="preserve">Angélica Garcia</t>
  </si>
  <si>
    <t xml:space="preserve">Lucifer Waiting</t>
  </si>
  <si>
    <t xml:space="preserve">Cha Cha Palace</t>
  </si>
  <si>
    <t xml:space="preserve">Spacebomb</t>
  </si>
  <si>
    <t xml:space="preserve">Your review: 4 stars; starts a bit like Blondie, morphs into Latin rhythm, wailing psych guitar. Album out Feb. 28, 2020.</t>
  </si>
  <si>
    <t xml:space="preserve">Andy Shauf</t>
  </si>
  <si>
    <t xml:space="preserve">Satan</t>
  </si>
  <si>
    <t xml:space="preserve">Satan / Jacob Rose (single)</t>
  </si>
  <si>
    <t xml:space="preserve">Anti-</t>
  </si>
  <si>
    <t xml:space="preserve">Added to the Air Order by DJ Stace. Modern shadows.</t>
  </si>
  <si>
    <t xml:space="preserve">Nick Cave and The Bad Seeds</t>
  </si>
  <si>
    <t xml:space="preserve">Up Jumped the Devil</t>
  </si>
  <si>
    <t xml:space="preserve">Tender Prey</t>
  </si>
  <si>
    <t xml:space="preserve">Mute Records</t>
  </si>
  <si>
    <t xml:space="preserve">Added to the Air Order by DJ Stace. Dark classic.</t>
  </si>
  <si>
    <t xml:space="preserve">Hour 2, Thursday Triple Shot: Queens of the Stone Age</t>
  </si>
  <si>
    <t xml:space="preserve">Queens of the Stone Age</t>
  </si>
  <si>
    <t xml:space="preserve">Where the Goth Girls At?</t>
  </si>
  <si>
    <t xml:space="preserve">Perfecth</t>
  </si>
  <si>
    <t xml:space="preserve">Matador Records</t>
  </si>
  <si>
    <t xml:space="preserve">Triple Shot 1 of 3. New single from Perfecth (out Fri. Oct. 30, Matador). Aired Oct. 1.</t>
  </si>
  <si>
    <t xml:space="preserve">Monsters in the Parasol</t>
  </si>
  <si>
    <t xml:space="preserve">R</t>
  </si>
  <si>
    <t xml:space="preserve">Interscope Records</t>
  </si>
  <si>
    <t xml:space="preserve">Triple Shot 2 of 3. From Rated R (2000); the library lists the album as R. The monsters track.</t>
  </si>
  <si>
    <t xml:space="preserve">If I Had a Tail</t>
  </si>
  <si>
    <t xml:space="preserve">...Like Clockwork</t>
  </si>
  <si>
    <t xml:space="preserve">Triple Shot 3 of 3. From ...Like Clockwork (2013, Matador).</t>
  </si>
  <si>
    <t xml:space="preserve">Hour 2, Set 6: Ghosts and graveyards</t>
  </si>
  <si>
    <t xml:space="preserve">L’epée</t>
  </si>
  <si>
    <t xml:space="preserve">Ghost Rider</t>
  </si>
  <si>
    <t xml:space="preserve">Diabolique</t>
  </si>
  <si>
    <t xml:space="preserve">A Recordings</t>
  </si>
  <si>
    <t xml:space="preserve">Your review: 4 stars; krautrock-style opening rhythm, spaghetti western psych guitar. L'Epee is Anton Newcombe and Lionel Liminana; Emmanuel</t>
  </si>
  <si>
    <t xml:space="preserve">The Mars Volta</t>
  </si>
  <si>
    <t xml:space="preserve">Graveyard Love</t>
  </si>
  <si>
    <t xml:space="preserve">Clouds Hill</t>
  </si>
  <si>
    <t xml:space="preserve">Your review: 4 stars; uptempo, drum-driven, soaring vocals, abrupt ending.</t>
  </si>
  <si>
    <t xml:space="preserve">Hour 2, Set 7: Goth and post-punk</t>
  </si>
  <si>
    <t xml:space="preserve">Siouxsie and the Banshees</t>
  </si>
  <si>
    <t xml:space="preserve">Spellbound</t>
  </si>
  <si>
    <t xml:space="preserve">Juju</t>
  </si>
  <si>
    <t xml:space="preserve">Polydor</t>
  </si>
  <si>
    <t xml:space="preserve">From Juju (1981).</t>
  </si>
  <si>
    <t xml:space="preserve">Joy Division</t>
  </si>
  <si>
    <t xml:space="preserve">Dead Souls</t>
  </si>
  <si>
    <t xml:space="preserve">Still</t>
  </si>
  <si>
    <t xml:space="preserve">Factory Communications</t>
  </si>
  <si>
    <t xml:space="preserve">Post-punk arc. Last Joy Division spin Oct. 15 was Transmission.</t>
  </si>
  <si>
    <t xml:space="preserve">Interpol</t>
  </si>
  <si>
    <t xml:space="preserve">Evil</t>
  </si>
  <si>
    <t xml:space="preserve">Antics</t>
  </si>
  <si>
    <t xml:space="preserve">The Horrors</t>
  </si>
  <si>
    <t xml:space="preserve">Who Can Say</t>
  </si>
  <si>
    <t xml:space="preserve">Primary Colours</t>
  </si>
  <si>
    <t xml:space="preserve">Xl Recordings</t>
  </si>
  <si>
    <t xml:space="preserve">Talking Heads</t>
  </si>
  <si>
    <t xml:space="preserve">Psycho Killer</t>
  </si>
  <si>
    <t xml:space="preserve">Talking Heads: 77</t>
  </si>
  <si>
    <t xml:space="preserve">Sire Records</t>
  </si>
  <si>
    <t xml:space="preserve">Added to the Air Order by DJ Stace. Halloween title.</t>
  </si>
  <si>
    <t xml:space="preserve">Hour 2, Set 8: Industrial, the long dark and the closer</t>
  </si>
  <si>
    <t xml:space="preserve">Coil</t>
  </si>
  <si>
    <t xml:space="preserve">Where Even the Darkness Is Something to See</t>
  </si>
  <si>
    <t xml:space="preserve">Love's Secret Domain</t>
  </si>
  <si>
    <t xml:space="preserve">!K7 Records</t>
  </si>
  <si>
    <t xml:space="preserve">LISTEN FIRST</t>
  </si>
  <si>
    <t xml:space="preserve">Added to the Air Order by DJ Stace (Oct. 28). Industrial, didgeridoo-led at the start of Set 8. Library tag is the !K7 issue of Love's Secre</t>
  </si>
  <si>
    <t xml:space="preserve">Alien Sex Fiend</t>
  </si>
  <si>
    <t xml:space="preserve">Now I'm Feeling Zombiefied</t>
  </si>
  <si>
    <t xml:space="preserve">Alien Sex Fiend Halloween</t>
  </si>
  <si>
    <t xml:space="preserve">Anagram Records</t>
  </si>
  <si>
    <t xml:space="preserve">Added to the Air Order by DJ Stace. Goth. Long track. Label not in the Zookeeper label table (Discogs spelling); original 1987 12-inch (veri</t>
  </si>
  <si>
    <t xml:space="preserve">Bauhaus</t>
  </si>
  <si>
    <t xml:space="preserve">Bela Lugosi's Dead (Official Version)</t>
  </si>
  <si>
    <t xml:space="preserve">Bela Lugosi's Dead (single)</t>
  </si>
  <si>
    <t xml:space="preserve">Small Wonder Records</t>
  </si>
  <si>
    <t xml:space="preserve">Added to the Air Order by DJ Stace.</t>
  </si>
  <si>
    <t xml:space="preserve">Black Sabbath</t>
  </si>
  <si>
    <t xml:space="preserve">Warner Bros. Records</t>
  </si>
  <si>
    <t xml:space="preserve">Long. Fits the Oct. 30, 1998 reunion on Letterman (confirmed: IMDb episode listing, Louder, Black Sabbath Online).</t>
  </si>
  <si>
    <t xml:space="preserve">All 35 tracks</t>
  </si>
  <si>
    <t xml:space="preserve">Source: data/recon/2026-10-29/working_playlist.json (35 tracks after your Working cull); durations are YouTube Music runtimes. Seconds column is the only hardcoded data (blue).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</si>
</sst>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m]:ss"/>
    <numFmt numFmtId="166" formatCode="m:ss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8A61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D7DA"/>
        </patternFill>
      </fill>
    </dxf>
    <dxf>
      <font>
        <name val="Arial"/>
        <charset val="1"/>
        <family val="0"/>
        <b val="1"/>
        <color rgb="FFB000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A61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F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C3" s="3" t="s">
        <v>2</v>
      </c>
      <c r="D3" s="4" t="n">
        <v>60</v>
      </c>
      <c r="G3" s="3" t="s">
        <v>3</v>
      </c>
    </row>
    <row r="4" customFormat="false" ht="15" hidden="false" customHeight="false" outlineLevel="0" collapsed="false">
      <c r="C4" s="3" t="s">
        <v>4</v>
      </c>
      <c r="D4" s="4" t="n">
        <v>10</v>
      </c>
      <c r="G4" s="5" t="s">
        <v>5</v>
      </c>
    </row>
    <row r="5" customFormat="false" ht="15" hidden="false" customHeight="false" outlineLevel="0" collapsed="false">
      <c r="C5" s="3" t="s">
        <v>6</v>
      </c>
      <c r="D5" s="6" t="n">
        <f aca="false">TIME(0,D3-D4,0)</f>
        <v>0.0347222222222222</v>
      </c>
      <c r="G5" s="5" t="s">
        <v>7</v>
      </c>
    </row>
    <row r="6" customFormat="false" ht="15" hidden="false" customHeight="false" outlineLevel="0" collapsed="false">
      <c r="C6" s="3" t="s">
        <v>8</v>
      </c>
      <c r="D6" s="6" t="n">
        <f aca="false">SUM(J11:J45)</f>
        <v>0</v>
      </c>
      <c r="G6" s="5" t="s">
        <v>9</v>
      </c>
    </row>
    <row r="7" customFormat="false" ht="15" hidden="false" customHeight="false" outlineLevel="0" collapsed="false">
      <c r="C7" s="3" t="s">
        <v>10</v>
      </c>
      <c r="D7" s="6" t="n">
        <f aca="false">MAX(D5-D6,0)</f>
        <v>0.0347222222222222</v>
      </c>
      <c r="E7" s="3" t="str">
        <f aca="false">IF(D6&gt;D5,"OVER by "&amp;TEXT(D6-D5,"[m]:ss"),"under target")</f>
        <v>under target</v>
      </c>
      <c r="G7" s="5" t="s">
        <v>11</v>
      </c>
    </row>
    <row r="8" customFormat="false" ht="15" hidden="false" customHeight="false" outlineLevel="0" collapsed="false">
      <c r="C8" s="3" t="s">
        <v>12</v>
      </c>
      <c r="D8" s="7" t="n">
        <f aca="false">COUNTIF(A11:A45,"?*")</f>
        <v>0</v>
      </c>
    </row>
    <row r="10" customFormat="false" ht="30" hidden="false" customHeight="true" outlineLevel="0" collapsed="false">
      <c r="A10" s="8" t="s">
        <v>13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</row>
    <row r="11" customFormat="false" ht="23.85" hidden="false" customHeight="false" outlineLevel="0" collapsed="false">
      <c r="A11" s="9"/>
      <c r="B11" s="10" t="n">
        <v>1</v>
      </c>
      <c r="C11" s="11" t="s">
        <v>26</v>
      </c>
      <c r="D11" s="12" t="s">
        <v>27</v>
      </c>
      <c r="E11" s="13" t="s">
        <v>28</v>
      </c>
      <c r="F11" s="11" t="s">
        <v>29</v>
      </c>
      <c r="G11" s="11" t="s">
        <v>30</v>
      </c>
      <c r="H11" s="14" t="n">
        <f aca="false">I11/86400</f>
        <v>0.00459490740740741</v>
      </c>
      <c r="I11" s="15" t="n">
        <v>397</v>
      </c>
      <c r="J11" s="16" t="n">
        <f aca="false">IF(A11&lt;&gt;"",H11,0)</f>
        <v>0</v>
      </c>
      <c r="K11" s="16" t="n">
        <f aca="false">SUM(J$11:J11)</f>
        <v>0</v>
      </c>
      <c r="L11" s="12" t="s">
        <v>31</v>
      </c>
      <c r="M11" s="11" t="s">
        <v>32</v>
      </c>
    </row>
    <row r="12" customFormat="false" ht="23.85" hidden="false" customHeight="false" outlineLevel="0" collapsed="false">
      <c r="A12" s="9"/>
      <c r="B12" s="10" t="n">
        <v>2</v>
      </c>
      <c r="C12" s="11" t="s">
        <v>26</v>
      </c>
      <c r="D12" s="12" t="s">
        <v>33</v>
      </c>
      <c r="E12" s="13" t="s">
        <v>34</v>
      </c>
      <c r="F12" s="11" t="s">
        <v>35</v>
      </c>
      <c r="G12" s="11" t="s">
        <v>36</v>
      </c>
      <c r="H12" s="14" t="n">
        <f aca="false">I12/86400</f>
        <v>0.00130787037037037</v>
      </c>
      <c r="I12" s="15" t="n">
        <v>113</v>
      </c>
      <c r="J12" s="16" t="n">
        <f aca="false">IF(A12&lt;&gt;"",H12,0)</f>
        <v>0</v>
      </c>
      <c r="K12" s="16" t="n">
        <f aca="false">SUM(J$11:J12)</f>
        <v>0</v>
      </c>
      <c r="L12" s="12" t="s">
        <v>31</v>
      </c>
      <c r="M12" s="11" t="s">
        <v>37</v>
      </c>
    </row>
    <row r="13" customFormat="false" ht="23.85" hidden="false" customHeight="false" outlineLevel="0" collapsed="false">
      <c r="A13" s="9"/>
      <c r="B13" s="10" t="n">
        <v>3</v>
      </c>
      <c r="C13" s="11" t="s">
        <v>26</v>
      </c>
      <c r="D13" s="12" t="s">
        <v>38</v>
      </c>
      <c r="E13" s="13" t="s">
        <v>39</v>
      </c>
      <c r="F13" s="11" t="s">
        <v>40</v>
      </c>
      <c r="G13" s="11" t="s">
        <v>41</v>
      </c>
      <c r="H13" s="14" t="n">
        <f aca="false">I13/86400</f>
        <v>0.00216435185185185</v>
      </c>
      <c r="I13" s="15" t="n">
        <v>187</v>
      </c>
      <c r="J13" s="16" t="n">
        <f aca="false">IF(A13&lt;&gt;"",H13,0)</f>
        <v>0</v>
      </c>
      <c r="K13" s="16" t="n">
        <f aca="false">SUM(J$11:J13)</f>
        <v>0</v>
      </c>
      <c r="L13" s="12" t="s">
        <v>31</v>
      </c>
      <c r="M13" s="11" t="s">
        <v>42</v>
      </c>
    </row>
    <row r="14" customFormat="false" ht="23.85" hidden="false" customHeight="false" outlineLevel="0" collapsed="false">
      <c r="A14" s="9"/>
      <c r="B14" s="10" t="n">
        <v>4</v>
      </c>
      <c r="C14" s="11" t="s">
        <v>26</v>
      </c>
      <c r="D14" s="12" t="s">
        <v>43</v>
      </c>
      <c r="E14" s="13" t="s">
        <v>44</v>
      </c>
      <c r="F14" s="11" t="s">
        <v>45</v>
      </c>
      <c r="G14" s="11" t="s">
        <v>46</v>
      </c>
      <c r="H14" s="14" t="n">
        <f aca="false">I14/86400</f>
        <v>0.00193287037037037</v>
      </c>
      <c r="I14" s="15" t="n">
        <v>167</v>
      </c>
      <c r="J14" s="16" t="n">
        <f aca="false">IF(A14&lt;&gt;"",H14,0)</f>
        <v>0</v>
      </c>
      <c r="K14" s="16" t="n">
        <f aca="false">SUM(J$11:J14)</f>
        <v>0</v>
      </c>
      <c r="L14" s="12" t="s">
        <v>31</v>
      </c>
      <c r="M14" s="11"/>
    </row>
    <row r="15" customFormat="false" ht="23.85" hidden="false" customHeight="false" outlineLevel="0" collapsed="false">
      <c r="A15" s="9"/>
      <c r="B15" s="10" t="n">
        <v>5</v>
      </c>
      <c r="C15" s="11" t="s">
        <v>47</v>
      </c>
      <c r="D15" s="12" t="s">
        <v>48</v>
      </c>
      <c r="E15" s="13" t="s">
        <v>49</v>
      </c>
      <c r="F15" s="11" t="s">
        <v>50</v>
      </c>
      <c r="G15" s="11" t="s">
        <v>51</v>
      </c>
      <c r="H15" s="14" t="n">
        <f aca="false">I15/86400</f>
        <v>0.00167824074074074</v>
      </c>
      <c r="I15" s="15" t="n">
        <v>145</v>
      </c>
      <c r="J15" s="16" t="n">
        <f aca="false">IF(A15&lt;&gt;"",H15,0)</f>
        <v>0</v>
      </c>
      <c r="K15" s="16" t="n">
        <f aca="false">SUM(J$11:J15)</f>
        <v>0</v>
      </c>
      <c r="L15" s="12" t="s">
        <v>31</v>
      </c>
      <c r="M15" s="11" t="s">
        <v>52</v>
      </c>
    </row>
    <row r="16" customFormat="false" ht="23.85" hidden="false" customHeight="false" outlineLevel="0" collapsed="false">
      <c r="A16" s="9"/>
      <c r="B16" s="10" t="n">
        <v>6</v>
      </c>
      <c r="C16" s="11" t="s">
        <v>47</v>
      </c>
      <c r="D16" s="12" t="s">
        <v>53</v>
      </c>
      <c r="E16" s="13" t="s">
        <v>49</v>
      </c>
      <c r="F16" s="11" t="s">
        <v>54</v>
      </c>
      <c r="G16" s="11" t="s">
        <v>55</v>
      </c>
      <c r="H16" s="14" t="n">
        <f aca="false">I16/86400</f>
        <v>0.00158564814814815</v>
      </c>
      <c r="I16" s="15" t="n">
        <v>137</v>
      </c>
      <c r="J16" s="16" t="n">
        <f aca="false">IF(A16&lt;&gt;"",H16,0)</f>
        <v>0</v>
      </c>
      <c r="K16" s="16" t="n">
        <f aca="false">SUM(J$11:J16)</f>
        <v>0</v>
      </c>
      <c r="L16" s="12" t="s">
        <v>31</v>
      </c>
      <c r="M16" s="11" t="s">
        <v>56</v>
      </c>
    </row>
    <row r="17" customFormat="false" ht="23.85" hidden="false" customHeight="false" outlineLevel="0" collapsed="false">
      <c r="A17" s="9"/>
      <c r="B17" s="10" t="n">
        <v>7</v>
      </c>
      <c r="C17" s="11" t="s">
        <v>47</v>
      </c>
      <c r="D17" s="12" t="s">
        <v>57</v>
      </c>
      <c r="E17" s="13" t="s">
        <v>58</v>
      </c>
      <c r="F17" s="11" t="s">
        <v>59</v>
      </c>
      <c r="G17" s="11" t="s">
        <v>60</v>
      </c>
      <c r="H17" s="14" t="n">
        <f aca="false">I17/86400</f>
        <v>0.00284722222222222</v>
      </c>
      <c r="I17" s="15" t="n">
        <v>246</v>
      </c>
      <c r="J17" s="16" t="n">
        <f aca="false">IF(A17&lt;&gt;"",H17,0)</f>
        <v>0</v>
      </c>
      <c r="K17" s="16" t="n">
        <f aca="false">SUM(J$11:J17)</f>
        <v>0</v>
      </c>
      <c r="L17" s="12" t="s">
        <v>31</v>
      </c>
      <c r="M17" s="11" t="s">
        <v>61</v>
      </c>
    </row>
    <row r="18" customFormat="false" ht="23.85" hidden="false" customHeight="false" outlineLevel="0" collapsed="false">
      <c r="A18" s="9"/>
      <c r="B18" s="10" t="n">
        <v>8</v>
      </c>
      <c r="C18" s="11" t="s">
        <v>47</v>
      </c>
      <c r="D18" s="12" t="s">
        <v>62</v>
      </c>
      <c r="E18" s="13" t="s">
        <v>63</v>
      </c>
      <c r="F18" s="11" t="s">
        <v>64</v>
      </c>
      <c r="G18" s="11" t="s">
        <v>65</v>
      </c>
      <c r="H18" s="14" t="n">
        <f aca="false">I18/86400</f>
        <v>0.00303240740740741</v>
      </c>
      <c r="I18" s="15" t="n">
        <v>262</v>
      </c>
      <c r="J18" s="16" t="n">
        <f aca="false">IF(A18&lt;&gt;"",H18,0)</f>
        <v>0</v>
      </c>
      <c r="K18" s="16" t="n">
        <f aca="false">SUM(J$11:J18)</f>
        <v>0</v>
      </c>
      <c r="L18" s="12" t="s">
        <v>31</v>
      </c>
      <c r="M18" s="11" t="s">
        <v>66</v>
      </c>
    </row>
    <row r="19" customFormat="false" ht="23.85" hidden="false" customHeight="false" outlineLevel="0" collapsed="false">
      <c r="A19" s="9"/>
      <c r="B19" s="10" t="n">
        <v>9</v>
      </c>
      <c r="C19" s="11" t="s">
        <v>47</v>
      </c>
      <c r="D19" s="12" t="s">
        <v>67</v>
      </c>
      <c r="E19" s="13" t="s">
        <v>68</v>
      </c>
      <c r="F19" s="11" t="s">
        <v>69</v>
      </c>
      <c r="G19" s="11" t="s">
        <v>70</v>
      </c>
      <c r="H19" s="14" t="n">
        <f aca="false">I19/86400</f>
        <v>0.00269675925925926</v>
      </c>
      <c r="I19" s="15" t="n">
        <v>233</v>
      </c>
      <c r="J19" s="16" t="n">
        <f aca="false">IF(A19&lt;&gt;"",H19,0)</f>
        <v>0</v>
      </c>
      <c r="K19" s="16" t="n">
        <f aca="false">SUM(J$11:J19)</f>
        <v>0</v>
      </c>
      <c r="L19" s="12" t="s">
        <v>31</v>
      </c>
      <c r="M19" s="11" t="s">
        <v>71</v>
      </c>
    </row>
    <row r="20" customFormat="false" ht="23.85" hidden="false" customHeight="false" outlineLevel="0" collapsed="false">
      <c r="A20" s="9"/>
      <c r="B20" s="10" t="n">
        <v>10</v>
      </c>
      <c r="C20" s="11" t="s">
        <v>72</v>
      </c>
      <c r="D20" s="12" t="s">
        <v>73</v>
      </c>
      <c r="E20" s="13" t="s">
        <v>74</v>
      </c>
      <c r="F20" s="11" t="s">
        <v>75</v>
      </c>
      <c r="G20" s="11" t="s">
        <v>76</v>
      </c>
      <c r="H20" s="14" t="n">
        <f aca="false">I20/86400</f>
        <v>0.00138888888888889</v>
      </c>
      <c r="I20" s="15" t="n">
        <v>120</v>
      </c>
      <c r="J20" s="16" t="n">
        <f aca="false">IF(A20&lt;&gt;"",H20,0)</f>
        <v>0</v>
      </c>
      <c r="K20" s="16" t="n">
        <f aca="false">SUM(J$11:J20)</f>
        <v>0</v>
      </c>
      <c r="L20" s="12" t="s">
        <v>31</v>
      </c>
      <c r="M20" s="11" t="s">
        <v>77</v>
      </c>
    </row>
    <row r="21" customFormat="false" ht="23.85" hidden="false" customHeight="false" outlineLevel="0" collapsed="false">
      <c r="A21" s="9"/>
      <c r="B21" s="10" t="n">
        <v>11</v>
      </c>
      <c r="C21" s="11" t="s">
        <v>72</v>
      </c>
      <c r="D21" s="12" t="s">
        <v>78</v>
      </c>
      <c r="E21" s="13" t="s">
        <v>79</v>
      </c>
      <c r="F21" s="11" t="s">
        <v>80</v>
      </c>
      <c r="G21" s="11" t="s">
        <v>81</v>
      </c>
      <c r="H21" s="14" t="n">
        <f aca="false">I21/86400</f>
        <v>0.00155092592592593</v>
      </c>
      <c r="I21" s="15" t="n">
        <v>134</v>
      </c>
      <c r="J21" s="16" t="n">
        <f aca="false">IF(A21&lt;&gt;"",H21,0)</f>
        <v>0</v>
      </c>
      <c r="K21" s="16" t="n">
        <f aca="false">SUM(J$11:J21)</f>
        <v>0</v>
      </c>
      <c r="L21" s="12" t="s">
        <v>31</v>
      </c>
      <c r="M21" s="11" t="s">
        <v>82</v>
      </c>
    </row>
    <row r="22" customFormat="false" ht="15" hidden="false" customHeight="false" outlineLevel="0" collapsed="false">
      <c r="A22" s="9"/>
      <c r="B22" s="10" t="n">
        <v>12</v>
      </c>
      <c r="C22" s="11" t="s">
        <v>72</v>
      </c>
      <c r="D22" s="12" t="s">
        <v>83</v>
      </c>
      <c r="E22" s="13" t="s">
        <v>84</v>
      </c>
      <c r="F22" s="11" t="s">
        <v>85</v>
      </c>
      <c r="G22" s="11" t="s">
        <v>86</v>
      </c>
      <c r="H22" s="14" t="n">
        <f aca="false">I22/86400</f>
        <v>0.00241898148148148</v>
      </c>
      <c r="I22" s="15" t="n">
        <v>209</v>
      </c>
      <c r="J22" s="16" t="n">
        <f aca="false">IF(A22&lt;&gt;"",H22,0)</f>
        <v>0</v>
      </c>
      <c r="K22" s="16" t="n">
        <f aca="false">SUM(J$11:J22)</f>
        <v>0</v>
      </c>
      <c r="L22" s="12" t="s">
        <v>31</v>
      </c>
      <c r="M22" s="11"/>
    </row>
    <row r="23" customFormat="false" ht="23.85" hidden="false" customHeight="false" outlineLevel="0" collapsed="false">
      <c r="A23" s="9"/>
      <c r="B23" s="10" t="n">
        <v>13</v>
      </c>
      <c r="C23" s="11" t="s">
        <v>72</v>
      </c>
      <c r="D23" s="12" t="s">
        <v>87</v>
      </c>
      <c r="E23" s="13" t="s">
        <v>88</v>
      </c>
      <c r="F23" s="11" t="s">
        <v>89</v>
      </c>
      <c r="G23" s="11" t="s">
        <v>90</v>
      </c>
      <c r="H23" s="14" t="n">
        <f aca="false">I23/86400</f>
        <v>0.00145833333333333</v>
      </c>
      <c r="I23" s="15" t="n">
        <v>126</v>
      </c>
      <c r="J23" s="16" t="n">
        <f aca="false">IF(A23&lt;&gt;"",H23,0)</f>
        <v>0</v>
      </c>
      <c r="K23" s="16" t="n">
        <f aca="false">SUM(J$11:J23)</f>
        <v>0</v>
      </c>
      <c r="L23" s="12" t="s">
        <v>31</v>
      </c>
      <c r="M23" s="11" t="s">
        <v>91</v>
      </c>
    </row>
    <row r="24" customFormat="false" ht="23.85" hidden="false" customHeight="false" outlineLevel="0" collapsed="false">
      <c r="A24" s="9"/>
      <c r="B24" s="10" t="n">
        <v>14</v>
      </c>
      <c r="C24" s="11" t="s">
        <v>72</v>
      </c>
      <c r="D24" s="12" t="s">
        <v>92</v>
      </c>
      <c r="E24" s="13" t="s">
        <v>93</v>
      </c>
      <c r="F24" s="11" t="s">
        <v>94</v>
      </c>
      <c r="G24" s="11" t="s">
        <v>95</v>
      </c>
      <c r="H24" s="14" t="n">
        <f aca="false">I24/86400</f>
        <v>0.00340277777777778</v>
      </c>
      <c r="I24" s="15" t="n">
        <v>294</v>
      </c>
      <c r="J24" s="16" t="n">
        <f aca="false">IF(A24&lt;&gt;"",H24,0)</f>
        <v>0</v>
      </c>
      <c r="K24" s="16" t="n">
        <f aca="false">SUM(J$11:J24)</f>
        <v>0</v>
      </c>
      <c r="L24" s="12" t="s">
        <v>31</v>
      </c>
      <c r="M24" s="11" t="s">
        <v>96</v>
      </c>
    </row>
    <row r="25" customFormat="false" ht="15" hidden="false" customHeight="false" outlineLevel="0" collapsed="false">
      <c r="A25" s="9"/>
      <c r="B25" s="10" t="n">
        <v>15</v>
      </c>
      <c r="C25" s="11" t="s">
        <v>72</v>
      </c>
      <c r="D25" s="12" t="s">
        <v>97</v>
      </c>
      <c r="E25" s="13" t="s">
        <v>98</v>
      </c>
      <c r="F25" s="11" t="s">
        <v>99</v>
      </c>
      <c r="G25" s="11" t="s">
        <v>100</v>
      </c>
      <c r="H25" s="14" t="n">
        <f aca="false">I25/86400</f>
        <v>0.00385416666666667</v>
      </c>
      <c r="I25" s="15" t="n">
        <v>333</v>
      </c>
      <c r="J25" s="16" t="n">
        <f aca="false">IF(A25&lt;&gt;"",H25,0)</f>
        <v>0</v>
      </c>
      <c r="K25" s="16" t="n">
        <f aca="false">SUM(J$11:J25)</f>
        <v>0</v>
      </c>
      <c r="L25" s="12" t="s">
        <v>31</v>
      </c>
      <c r="M25" s="11" t="s">
        <v>101</v>
      </c>
    </row>
    <row r="26" customFormat="false" ht="15" hidden="false" customHeight="false" outlineLevel="0" collapsed="false">
      <c r="A26" s="9"/>
      <c r="B26" s="10" t="n">
        <v>16</v>
      </c>
      <c r="C26" s="11" t="s">
        <v>72</v>
      </c>
      <c r="D26" s="12" t="s">
        <v>102</v>
      </c>
      <c r="E26" s="13" t="s">
        <v>103</v>
      </c>
      <c r="F26" s="11" t="s">
        <v>103</v>
      </c>
      <c r="G26" s="11" t="s">
        <v>104</v>
      </c>
      <c r="H26" s="14" t="n">
        <f aca="false">I26/86400</f>
        <v>0.00261574074074074</v>
      </c>
      <c r="I26" s="15" t="n">
        <v>226</v>
      </c>
      <c r="J26" s="16" t="n">
        <f aca="false">IF(A26&lt;&gt;"",H26,0)</f>
        <v>0</v>
      </c>
      <c r="K26" s="16" t="n">
        <f aca="false">SUM(J$11:J26)</f>
        <v>0</v>
      </c>
      <c r="L26" s="12" t="s">
        <v>31</v>
      </c>
      <c r="M26" s="11"/>
    </row>
    <row r="27" customFormat="false" ht="23.85" hidden="false" customHeight="false" outlineLevel="0" collapsed="false">
      <c r="A27" s="9"/>
      <c r="B27" s="10" t="n">
        <v>17</v>
      </c>
      <c r="C27" s="11" t="s">
        <v>72</v>
      </c>
      <c r="D27" s="12" t="s">
        <v>105</v>
      </c>
      <c r="E27" s="13" t="s">
        <v>106</v>
      </c>
      <c r="F27" s="11" t="s">
        <v>107</v>
      </c>
      <c r="G27" s="11" t="s">
        <v>108</v>
      </c>
      <c r="H27" s="14" t="n">
        <f aca="false">I27/86400</f>
        <v>0.00195601851851852</v>
      </c>
      <c r="I27" s="15" t="n">
        <v>169</v>
      </c>
      <c r="J27" s="16" t="n">
        <f aca="false">IF(A27&lt;&gt;"",H27,0)</f>
        <v>0</v>
      </c>
      <c r="K27" s="16" t="n">
        <f aca="false">SUM(J$11:J27)</f>
        <v>0</v>
      </c>
      <c r="L27" s="12" t="s">
        <v>31</v>
      </c>
      <c r="M27" s="11" t="s">
        <v>109</v>
      </c>
    </row>
    <row r="28" customFormat="false" ht="23.85" hidden="false" customHeight="false" outlineLevel="0" collapsed="false">
      <c r="A28" s="9"/>
      <c r="B28" s="10" t="n">
        <v>18</v>
      </c>
      <c r="C28" s="11" t="s">
        <v>110</v>
      </c>
      <c r="D28" s="12" t="s">
        <v>111</v>
      </c>
      <c r="E28" s="13" t="s">
        <v>112</v>
      </c>
      <c r="F28" s="11" t="s">
        <v>113</v>
      </c>
      <c r="G28" s="11" t="s">
        <v>114</v>
      </c>
      <c r="H28" s="14" t="n">
        <f aca="false">I28/86400</f>
        <v>0.00310185185185185</v>
      </c>
      <c r="I28" s="15" t="n">
        <v>268</v>
      </c>
      <c r="J28" s="16" t="n">
        <f aca="false">IF(A28&lt;&gt;"",H28,0)</f>
        <v>0</v>
      </c>
      <c r="K28" s="16" t="n">
        <f aca="false">SUM(J$11:J28)</f>
        <v>0</v>
      </c>
      <c r="L28" s="12" t="s">
        <v>31</v>
      </c>
      <c r="M28" s="11" t="s">
        <v>115</v>
      </c>
    </row>
    <row r="29" customFormat="false" ht="23.85" hidden="false" customHeight="false" outlineLevel="0" collapsed="false">
      <c r="A29" s="9"/>
      <c r="B29" s="10" t="n">
        <v>19</v>
      </c>
      <c r="C29" s="11" t="s">
        <v>110</v>
      </c>
      <c r="D29" s="12" t="s">
        <v>116</v>
      </c>
      <c r="E29" s="13" t="s">
        <v>117</v>
      </c>
      <c r="F29" s="11" t="s">
        <v>118</v>
      </c>
      <c r="G29" s="11" t="s">
        <v>119</v>
      </c>
      <c r="H29" s="14" t="n">
        <f aca="false">I29/86400</f>
        <v>0.00313657407407407</v>
      </c>
      <c r="I29" s="15" t="n">
        <v>271</v>
      </c>
      <c r="J29" s="16" t="n">
        <f aca="false">IF(A29&lt;&gt;"",H29,0)</f>
        <v>0</v>
      </c>
      <c r="K29" s="16" t="n">
        <f aca="false">SUM(J$11:J29)</f>
        <v>0</v>
      </c>
      <c r="L29" s="12" t="s">
        <v>31</v>
      </c>
      <c r="M29" s="11" t="s">
        <v>120</v>
      </c>
    </row>
    <row r="30" customFormat="false" ht="15" hidden="false" customHeight="false" outlineLevel="0" collapsed="false">
      <c r="A30" s="9"/>
      <c r="B30" s="10" t="n">
        <v>20</v>
      </c>
      <c r="C30" s="11" t="s">
        <v>110</v>
      </c>
      <c r="D30" s="12" t="s">
        <v>121</v>
      </c>
      <c r="E30" s="13" t="s">
        <v>122</v>
      </c>
      <c r="F30" s="11" t="s">
        <v>123</v>
      </c>
      <c r="G30" s="11" t="s">
        <v>124</v>
      </c>
      <c r="H30" s="14" t="n">
        <f aca="false">I30/86400</f>
        <v>0.00228009259259259</v>
      </c>
      <c r="I30" s="15" t="n">
        <v>197</v>
      </c>
      <c r="J30" s="16" t="n">
        <f aca="false">IF(A30&lt;&gt;"",H30,0)</f>
        <v>0</v>
      </c>
      <c r="K30" s="16" t="n">
        <f aca="false">SUM(J$11:J30)</f>
        <v>0</v>
      </c>
      <c r="L30" s="12" t="s">
        <v>31</v>
      </c>
      <c r="M30" s="11" t="s">
        <v>125</v>
      </c>
    </row>
    <row r="31" customFormat="false" ht="15" hidden="false" customHeight="false" outlineLevel="0" collapsed="false">
      <c r="A31" s="9"/>
      <c r="B31" s="10" t="n">
        <v>21</v>
      </c>
      <c r="C31" s="11" t="s">
        <v>110</v>
      </c>
      <c r="D31" s="12" t="s">
        <v>126</v>
      </c>
      <c r="E31" s="13" t="s">
        <v>127</v>
      </c>
      <c r="F31" s="11" t="s">
        <v>128</v>
      </c>
      <c r="G31" s="11" t="s">
        <v>129</v>
      </c>
      <c r="H31" s="14" t="n">
        <f aca="false">I31/86400</f>
        <v>0.00366898148148148</v>
      </c>
      <c r="I31" s="15" t="n">
        <v>317</v>
      </c>
      <c r="J31" s="16" t="n">
        <f aca="false">IF(A31&lt;&gt;"",H31,0)</f>
        <v>0</v>
      </c>
      <c r="K31" s="16" t="n">
        <f aca="false">SUM(J$11:J31)</f>
        <v>0</v>
      </c>
      <c r="L31" s="12" t="s">
        <v>31</v>
      </c>
      <c r="M31" s="11" t="s">
        <v>130</v>
      </c>
    </row>
    <row r="32" customFormat="false" ht="23.85" hidden="false" customHeight="false" outlineLevel="0" collapsed="false">
      <c r="A32" s="9"/>
      <c r="B32" s="10" t="n">
        <v>22</v>
      </c>
      <c r="C32" s="11" t="s">
        <v>131</v>
      </c>
      <c r="D32" s="12" t="s">
        <v>132</v>
      </c>
      <c r="E32" s="13" t="s">
        <v>133</v>
      </c>
      <c r="F32" s="11" t="s">
        <v>134</v>
      </c>
      <c r="G32" s="11" t="s">
        <v>135</v>
      </c>
      <c r="H32" s="14" t="n">
        <f aca="false">I32/86400</f>
        <v>0.00241898148148148</v>
      </c>
      <c r="I32" s="15" t="n">
        <v>209</v>
      </c>
      <c r="J32" s="16" t="n">
        <f aca="false">IF(A32&lt;&gt;"",H32,0)</f>
        <v>0</v>
      </c>
      <c r="K32" s="16" t="n">
        <f aca="false">SUM(J$11:J32)</f>
        <v>0</v>
      </c>
      <c r="L32" s="12" t="s">
        <v>31</v>
      </c>
      <c r="M32" s="11" t="s">
        <v>136</v>
      </c>
    </row>
    <row r="33" customFormat="false" ht="23.85" hidden="false" customHeight="false" outlineLevel="0" collapsed="false">
      <c r="A33" s="9"/>
      <c r="B33" s="10" t="n">
        <v>23</v>
      </c>
      <c r="C33" s="11" t="s">
        <v>131</v>
      </c>
      <c r="D33" s="12" t="s">
        <v>132</v>
      </c>
      <c r="E33" s="13" t="s">
        <v>137</v>
      </c>
      <c r="F33" s="11" t="s">
        <v>138</v>
      </c>
      <c r="G33" s="11" t="s">
        <v>139</v>
      </c>
      <c r="H33" s="14" t="n">
        <f aca="false">I33/86400</f>
        <v>0.00240740740740741</v>
      </c>
      <c r="I33" s="15" t="n">
        <v>208</v>
      </c>
      <c r="J33" s="16" t="n">
        <f aca="false">IF(A33&lt;&gt;"",H33,0)</f>
        <v>0</v>
      </c>
      <c r="K33" s="16" t="n">
        <f aca="false">SUM(J$11:J33)</f>
        <v>0</v>
      </c>
      <c r="L33" s="12" t="s">
        <v>31</v>
      </c>
      <c r="M33" s="11" t="s">
        <v>140</v>
      </c>
    </row>
    <row r="34" customFormat="false" ht="23.85" hidden="false" customHeight="false" outlineLevel="0" collapsed="false">
      <c r="A34" s="9"/>
      <c r="B34" s="10" t="n">
        <v>24</v>
      </c>
      <c r="C34" s="11" t="s">
        <v>131</v>
      </c>
      <c r="D34" s="12" t="s">
        <v>132</v>
      </c>
      <c r="E34" s="13" t="s">
        <v>141</v>
      </c>
      <c r="F34" s="11" t="s">
        <v>142</v>
      </c>
      <c r="G34" s="11" t="s">
        <v>135</v>
      </c>
      <c r="H34" s="14" t="n">
        <f aca="false">I34/86400</f>
        <v>0.00342592592592593</v>
      </c>
      <c r="I34" s="15" t="n">
        <v>296</v>
      </c>
      <c r="J34" s="16" t="n">
        <f aca="false">IF(A34&lt;&gt;"",H34,0)</f>
        <v>0</v>
      </c>
      <c r="K34" s="16" t="n">
        <f aca="false">SUM(J$11:J34)</f>
        <v>0</v>
      </c>
      <c r="L34" s="12" t="s">
        <v>31</v>
      </c>
      <c r="M34" s="11" t="s">
        <v>143</v>
      </c>
    </row>
    <row r="35" customFormat="false" ht="23.85" hidden="false" customHeight="false" outlineLevel="0" collapsed="false">
      <c r="A35" s="9"/>
      <c r="B35" s="10" t="n">
        <v>25</v>
      </c>
      <c r="C35" s="11" t="s">
        <v>144</v>
      </c>
      <c r="D35" s="12" t="s">
        <v>145</v>
      </c>
      <c r="E35" s="13" t="s">
        <v>146</v>
      </c>
      <c r="F35" s="11" t="s">
        <v>147</v>
      </c>
      <c r="G35" s="11" t="s">
        <v>148</v>
      </c>
      <c r="H35" s="14" t="n">
        <f aca="false">I35/86400</f>
        <v>0.00405092592592593</v>
      </c>
      <c r="I35" s="15" t="n">
        <v>350</v>
      </c>
      <c r="J35" s="16" t="n">
        <f aca="false">IF(A35&lt;&gt;"",H35,0)</f>
        <v>0</v>
      </c>
      <c r="K35" s="16" t="n">
        <f aca="false">SUM(J$11:J35)</f>
        <v>0</v>
      </c>
      <c r="L35" s="12" t="s">
        <v>31</v>
      </c>
      <c r="M35" s="11" t="s">
        <v>149</v>
      </c>
    </row>
    <row r="36" customFormat="false" ht="23.85" hidden="false" customHeight="false" outlineLevel="0" collapsed="false">
      <c r="A36" s="9"/>
      <c r="B36" s="10" t="n">
        <v>26</v>
      </c>
      <c r="C36" s="11" t="s">
        <v>144</v>
      </c>
      <c r="D36" s="12" t="s">
        <v>150</v>
      </c>
      <c r="E36" s="13" t="s">
        <v>151</v>
      </c>
      <c r="F36" s="11" t="s">
        <v>150</v>
      </c>
      <c r="G36" s="11" t="s">
        <v>152</v>
      </c>
      <c r="H36" s="14" t="n">
        <f aca="false">I36/86400</f>
        <v>0.00225694444444444</v>
      </c>
      <c r="I36" s="15" t="n">
        <v>195</v>
      </c>
      <c r="J36" s="16" t="n">
        <f aca="false">IF(A36&lt;&gt;"",H36,0)</f>
        <v>0</v>
      </c>
      <c r="K36" s="16" t="n">
        <f aca="false">SUM(J$11:J36)</f>
        <v>0</v>
      </c>
      <c r="L36" s="12" t="s">
        <v>31</v>
      </c>
      <c r="M36" s="11" t="s">
        <v>153</v>
      </c>
    </row>
    <row r="37" customFormat="false" ht="15" hidden="false" customHeight="false" outlineLevel="0" collapsed="false">
      <c r="A37" s="9"/>
      <c r="B37" s="10" t="n">
        <v>27</v>
      </c>
      <c r="C37" s="11" t="s">
        <v>154</v>
      </c>
      <c r="D37" s="12" t="s">
        <v>155</v>
      </c>
      <c r="E37" s="13" t="s">
        <v>156</v>
      </c>
      <c r="F37" s="11" t="s">
        <v>157</v>
      </c>
      <c r="G37" s="11" t="s">
        <v>158</v>
      </c>
      <c r="H37" s="14" t="n">
        <f aca="false">I37/86400</f>
        <v>0.00229166666666667</v>
      </c>
      <c r="I37" s="15" t="n">
        <v>198</v>
      </c>
      <c r="J37" s="16" t="n">
        <f aca="false">IF(A37&lt;&gt;"",H37,0)</f>
        <v>0</v>
      </c>
      <c r="K37" s="16" t="n">
        <f aca="false">SUM(J$11:J37)</f>
        <v>0</v>
      </c>
      <c r="L37" s="12" t="s">
        <v>31</v>
      </c>
      <c r="M37" s="11" t="s">
        <v>159</v>
      </c>
    </row>
    <row r="38" customFormat="false" ht="15" hidden="false" customHeight="false" outlineLevel="0" collapsed="false">
      <c r="A38" s="9"/>
      <c r="B38" s="10" t="n">
        <v>28</v>
      </c>
      <c r="C38" s="11" t="s">
        <v>154</v>
      </c>
      <c r="D38" s="12" t="s">
        <v>160</v>
      </c>
      <c r="E38" s="13" t="s">
        <v>161</v>
      </c>
      <c r="F38" s="11" t="s">
        <v>162</v>
      </c>
      <c r="G38" s="11" t="s">
        <v>163</v>
      </c>
      <c r="H38" s="14" t="n">
        <f aca="false">I38/86400</f>
        <v>0.00341435185185185</v>
      </c>
      <c r="I38" s="15" t="n">
        <v>295</v>
      </c>
      <c r="J38" s="16" t="n">
        <f aca="false">IF(A38&lt;&gt;"",H38,0)</f>
        <v>0</v>
      </c>
      <c r="K38" s="16" t="n">
        <f aca="false">SUM(J$11:J38)</f>
        <v>0</v>
      </c>
      <c r="L38" s="12" t="s">
        <v>31</v>
      </c>
      <c r="M38" s="11" t="s">
        <v>164</v>
      </c>
    </row>
    <row r="39" customFormat="false" ht="15" hidden="false" customHeight="false" outlineLevel="0" collapsed="false">
      <c r="A39" s="9"/>
      <c r="B39" s="10" t="n">
        <v>29</v>
      </c>
      <c r="C39" s="11" t="s">
        <v>154</v>
      </c>
      <c r="D39" s="12" t="s">
        <v>165</v>
      </c>
      <c r="E39" s="13" t="s">
        <v>166</v>
      </c>
      <c r="F39" s="11" t="s">
        <v>167</v>
      </c>
      <c r="G39" s="11" t="s">
        <v>135</v>
      </c>
      <c r="H39" s="14" t="n">
        <f aca="false">I39/86400</f>
        <v>0.0025</v>
      </c>
      <c r="I39" s="15" t="n">
        <v>216</v>
      </c>
      <c r="J39" s="16" t="n">
        <f aca="false">IF(A39&lt;&gt;"",H39,0)</f>
        <v>0</v>
      </c>
      <c r="K39" s="16" t="n">
        <f aca="false">SUM(J$11:J39)</f>
        <v>0</v>
      </c>
      <c r="L39" s="12" t="s">
        <v>31</v>
      </c>
      <c r="M39" s="11"/>
    </row>
    <row r="40" customFormat="false" ht="15" hidden="false" customHeight="false" outlineLevel="0" collapsed="false">
      <c r="A40" s="9"/>
      <c r="B40" s="10" t="n">
        <v>30</v>
      </c>
      <c r="C40" s="11" t="s">
        <v>154</v>
      </c>
      <c r="D40" s="12" t="s">
        <v>168</v>
      </c>
      <c r="E40" s="13" t="s">
        <v>169</v>
      </c>
      <c r="F40" s="11" t="s">
        <v>170</v>
      </c>
      <c r="G40" s="11" t="s">
        <v>171</v>
      </c>
      <c r="H40" s="14" t="n">
        <f aca="false">I40/86400</f>
        <v>0.00256944444444444</v>
      </c>
      <c r="I40" s="15" t="n">
        <v>222</v>
      </c>
      <c r="J40" s="16" t="n">
        <f aca="false">IF(A40&lt;&gt;"",H40,0)</f>
        <v>0</v>
      </c>
      <c r="K40" s="16" t="n">
        <f aca="false">SUM(J$11:J40)</f>
        <v>0</v>
      </c>
      <c r="L40" s="12" t="s">
        <v>31</v>
      </c>
      <c r="M40" s="11"/>
    </row>
    <row r="41" customFormat="false" ht="15" hidden="false" customHeight="false" outlineLevel="0" collapsed="false">
      <c r="A41" s="9"/>
      <c r="B41" s="10" t="n">
        <v>31</v>
      </c>
      <c r="C41" s="11" t="s">
        <v>154</v>
      </c>
      <c r="D41" s="12" t="s">
        <v>172</v>
      </c>
      <c r="E41" s="13" t="s">
        <v>173</v>
      </c>
      <c r="F41" s="11" t="s">
        <v>174</v>
      </c>
      <c r="G41" s="11" t="s">
        <v>175</v>
      </c>
      <c r="H41" s="14" t="n">
        <f aca="false">I41/86400</f>
        <v>0.00302083333333333</v>
      </c>
      <c r="I41" s="15" t="n">
        <v>261</v>
      </c>
      <c r="J41" s="16" t="n">
        <f aca="false">IF(A41&lt;&gt;"",H41,0)</f>
        <v>0</v>
      </c>
      <c r="K41" s="16" t="n">
        <f aca="false">SUM(J$11:J41)</f>
        <v>0</v>
      </c>
      <c r="L41" s="12" t="s">
        <v>31</v>
      </c>
      <c r="M41" s="11" t="s">
        <v>176</v>
      </c>
    </row>
    <row r="42" customFormat="false" ht="23.85" hidden="false" customHeight="false" outlineLevel="0" collapsed="false">
      <c r="A42" s="9"/>
      <c r="B42" s="10" t="n">
        <v>32</v>
      </c>
      <c r="C42" s="11" t="s">
        <v>177</v>
      </c>
      <c r="D42" s="12" t="s">
        <v>178</v>
      </c>
      <c r="E42" s="13" t="s">
        <v>179</v>
      </c>
      <c r="F42" s="11" t="s">
        <v>180</v>
      </c>
      <c r="G42" s="11" t="s">
        <v>181</v>
      </c>
      <c r="H42" s="14" t="n">
        <f aca="false">I42/86400</f>
        <v>0.0021412037037037</v>
      </c>
      <c r="I42" s="15" t="n">
        <v>185</v>
      </c>
      <c r="J42" s="16" t="n">
        <f aca="false">IF(A42&lt;&gt;"",H42,0)</f>
        <v>0</v>
      </c>
      <c r="K42" s="16" t="n">
        <f aca="false">SUM(J$11:J42)</f>
        <v>0</v>
      </c>
      <c r="L42" s="17" t="s">
        <v>182</v>
      </c>
      <c r="M42" s="11" t="s">
        <v>183</v>
      </c>
    </row>
    <row r="43" customFormat="false" ht="23.85" hidden="false" customHeight="false" outlineLevel="0" collapsed="false">
      <c r="A43" s="9"/>
      <c r="B43" s="10" t="n">
        <v>33</v>
      </c>
      <c r="C43" s="11" t="s">
        <v>177</v>
      </c>
      <c r="D43" s="12" t="s">
        <v>184</v>
      </c>
      <c r="E43" s="13" t="s">
        <v>185</v>
      </c>
      <c r="F43" s="11" t="s">
        <v>186</v>
      </c>
      <c r="G43" s="11" t="s">
        <v>187</v>
      </c>
      <c r="H43" s="14" t="n">
        <f aca="false">I43/86400</f>
        <v>0.00553240740740741</v>
      </c>
      <c r="I43" s="15" t="n">
        <v>478</v>
      </c>
      <c r="J43" s="16" t="n">
        <f aca="false">IF(A43&lt;&gt;"",H43,0)</f>
        <v>0</v>
      </c>
      <c r="K43" s="16" t="n">
        <f aca="false">SUM(J$11:J43)</f>
        <v>0</v>
      </c>
      <c r="L43" s="12" t="s">
        <v>31</v>
      </c>
      <c r="M43" s="11" t="s">
        <v>188</v>
      </c>
    </row>
    <row r="44" customFormat="false" ht="23.85" hidden="false" customHeight="false" outlineLevel="0" collapsed="false">
      <c r="A44" s="9"/>
      <c r="B44" s="10" t="n">
        <v>34</v>
      </c>
      <c r="C44" s="11" t="s">
        <v>177</v>
      </c>
      <c r="D44" s="12" t="s">
        <v>189</v>
      </c>
      <c r="E44" s="13" t="s">
        <v>190</v>
      </c>
      <c r="F44" s="11" t="s">
        <v>191</v>
      </c>
      <c r="G44" s="11" t="s">
        <v>192</v>
      </c>
      <c r="H44" s="14" t="n">
        <f aca="false">I44/86400</f>
        <v>0.00667824074074074</v>
      </c>
      <c r="I44" s="15" t="n">
        <v>577</v>
      </c>
      <c r="J44" s="16" t="n">
        <f aca="false">IF(A44&lt;&gt;"",H44,0)</f>
        <v>0</v>
      </c>
      <c r="K44" s="16" t="n">
        <f aca="false">SUM(J$11:J44)</f>
        <v>0</v>
      </c>
      <c r="L44" s="12" t="s">
        <v>31</v>
      </c>
      <c r="M44" s="11" t="s">
        <v>193</v>
      </c>
    </row>
    <row r="45" customFormat="false" ht="23.85" hidden="false" customHeight="false" outlineLevel="0" collapsed="false">
      <c r="A45" s="9"/>
      <c r="B45" s="10" t="n">
        <v>35</v>
      </c>
      <c r="C45" s="11" t="s">
        <v>177</v>
      </c>
      <c r="D45" s="12" t="s">
        <v>194</v>
      </c>
      <c r="E45" s="13" t="s">
        <v>194</v>
      </c>
      <c r="F45" s="11" t="s">
        <v>194</v>
      </c>
      <c r="G45" s="11" t="s">
        <v>195</v>
      </c>
      <c r="H45" s="14" t="n">
        <f aca="false">I45/86400</f>
        <v>0.00655092592592593</v>
      </c>
      <c r="I45" s="15" t="n">
        <v>566</v>
      </c>
      <c r="J45" s="16" t="n">
        <f aca="false">IF(A45&lt;&gt;"",H45,0)</f>
        <v>0</v>
      </c>
      <c r="K45" s="16" t="n">
        <f aca="false">SUM(J$11:J45)</f>
        <v>0</v>
      </c>
      <c r="L45" s="12" t="s">
        <v>31</v>
      </c>
      <c r="M45" s="11" t="s">
        <v>196</v>
      </c>
    </row>
    <row r="46" customFormat="false" ht="15" hidden="false" customHeight="false" outlineLevel="0" collapsed="false">
      <c r="E46" s="3" t="s">
        <v>197</v>
      </c>
      <c r="H46" s="18" t="n">
        <f aca="false">SUM(H11:H45)</f>
        <v>0.10193287037037</v>
      </c>
      <c r="J46" s="18" t="n">
        <f aca="false">SUM(J11:J45)</f>
        <v>0</v>
      </c>
    </row>
    <row r="48" customFormat="false" ht="15" hidden="false" customHeight="false" outlineLevel="0" collapsed="false">
      <c r="A48" s="19" t="s">
        <v>198</v>
      </c>
    </row>
  </sheetData>
  <autoFilter ref="A10:M45"/>
  <conditionalFormatting sqref="B11:M45">
    <cfRule type="expression" priority="2" aboveAverage="0" equalAverage="0" bottom="0" percent="0" rank="0" text="" dxfId="6">
      <formula>$A11&lt;&gt;""</formula>
    </cfRule>
  </conditionalFormatting>
  <conditionalFormatting sqref="K11:K45">
    <cfRule type="expression" priority="3" aboveAverage="0" equalAverage="0" bottom="0" percent="0" rank="0" text="" dxfId="7">
      <formula>AND($A11&lt;&gt;"",K11&gt;$D$5)</formula>
    </cfRule>
  </conditionalFormatting>
  <conditionalFormatting sqref="E7">
    <cfRule type="expression" priority="4" aboveAverage="0" equalAverage="0" bottom="0" percent="0" rank="0" text="" dxfId="8">
      <formula>$D$6&gt;$D$5</formula>
    </cfRule>
  </conditionalFormatting>
  <dataValidations count="1">
    <dataValidation allowBlank="true" errorStyle="stop" operator="between" showDropDown="false" showErrorMessage="false" showInputMessage="false" sqref="A11:A45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2026-10-29T23:05:05Z</dcterms:created>
  <dc:creator>openpyxl</dc:creator>
  <dc:description/>
  <dc:language>en-US</dc:language>
  <cp:lastModifiedBy/>
  <dcterms:modified xsi:type="dcterms:W3CDTF">2026-10-29T23:05:05Z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